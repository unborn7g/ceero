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  <sheet xmlns:r="http://schemas.openxmlformats.org/officeDocument/2006/relationships" name="Ad test planner" sheetId="2" state="visible" r:id="rId2"/>
    <sheet xmlns:r="http://schemas.openxmlformats.org/officeDocument/2006/relationships" name="10-week cash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₦&quot;#,##0"/>
    <numFmt numFmtId="166" formatCode="&quot;$&quot;#,##0.00"/>
    <numFmt numFmtId="167" formatCode="0.0"/>
    <numFmt numFmtId="168" formatCode="#,##0.0"/>
    <numFmt numFmtId="169" formatCode="&quot;$&quot;#,##0"/>
  </numFmts>
  <fonts count="7">
    <font>
      <name val="Calibri"/>
      <family val="2"/>
      <color theme="1"/>
      <sz val="11"/>
      <scheme val="minor"/>
    </font>
    <font>
      <name val="Calibri"/>
      <b val="1"/>
      <color rgb="FF22201D"/>
      <sz val="16"/>
    </font>
    <font>
      <name val="Calibri"/>
      <i val="1"/>
      <color rgb="FF6E6559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22201D"/>
      </patternFill>
    </fill>
    <fill>
      <patternFill patternType="solid">
        <fgColor rgb="FFEDF0EA"/>
      </patternFill>
    </fill>
    <fill>
      <patternFill patternType="solid">
        <fgColor rgb="FFFBF8F3"/>
      </patternFill>
    </fill>
    <fill>
      <patternFill patternType="solid">
        <fgColor rgb="FFF7ECE6"/>
      </patternFill>
    </fill>
    <fill>
      <patternFill patternType="solid">
        <fgColor rgb="FFF2EBE1"/>
      </patternFill>
    </fill>
  </fills>
  <borders count="2">
    <border>
      <left/>
      <right/>
      <top/>
      <bottom/>
      <diagonal/>
    </border>
    <border>
      <left style="thin">
        <color rgb="FFE6DED2"/>
      </left>
      <right style="thin">
        <color rgb="FFE6DED2"/>
      </right>
      <top style="thin">
        <color rgb="FFE6DED2"/>
      </top>
      <bottom style="thin">
        <color rgb="FFE6DED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3" fillId="2" borderId="1" pivotButton="0" quotePrefix="0" xfId="0"/>
    <xf numFmtId="1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2" borderId="1" pivotButton="0" quotePrefix="0" xfId="0"/>
    <xf numFmtId="166" fontId="4" fillId="2" borderId="1" pivotButton="0" quotePrefix="0" xfId="0"/>
    <xf numFmtId="165" fontId="4" fillId="0" borderId="1" pivotButton="0" quotePrefix="0" xfId="0"/>
    <xf numFmtId="165" fontId="4" fillId="4" borderId="1" pivotButton="0" quotePrefix="0" xfId="0"/>
    <xf numFmtId="164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4" fillId="5" borderId="1" pivotButton="0" quotePrefix="0" xfId="0"/>
    <xf numFmtId="165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0" fontId="4" fillId="4" borderId="1" pivotButton="0" quotePrefix="0" xfId="0"/>
    <xf numFmtId="165" fontId="3" fillId="4" borderId="1" applyAlignment="1" pivotButton="0" quotePrefix="0" xfId="0">
      <alignment horizontal="right"/>
    </xf>
    <xf numFmtId="0" fontId="4" fillId="6" borderId="1" pivotButton="0" quotePrefix="0" xfId="0"/>
    <xf numFmtId="0" fontId="3" fillId="6" borderId="1" applyAlignment="1" pivotButton="0" quotePrefix="0" xfId="0">
      <alignment horizontal="right"/>
    </xf>
    <xf numFmtId="165" fontId="0" fillId="2" borderId="1" pivotButton="0" quotePrefix="0" xfId="0"/>
    <xf numFmtId="165" fontId="0" fillId="0" borderId="1" pivotButton="0" quotePrefix="0" xfId="0"/>
    <xf numFmtId="168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3" fillId="7" borderId="1" pivotButton="0" quotePrefix="0" xfId="0"/>
    <xf numFmtId="165" fontId="3" fillId="7" borderId="1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  <col width="15" customWidth="1" min="8" max="8"/>
    <col width="16" customWidth="1" min="9" max="9"/>
    <col width="17" customWidth="1" min="10" max="10"/>
    <col width="14" customWidth="1" min="11" max="11"/>
    <col width="17" customWidth="1" min="12" max="12"/>
  </cols>
  <sheetData>
    <row r="1">
      <c r="A1" s="1" t="inlineStr">
        <is>
          <t>CeeRO — unit economics model</t>
        </is>
      </c>
    </row>
    <row r="2">
      <c r="A2" s="2" t="inlineStr">
        <is>
          <t>Yellow cells are inputs. Change a supplier quote and every break-even below recalculates.</t>
        </is>
      </c>
    </row>
    <row r="4">
      <c r="A4" s="3" t="inlineStr">
        <is>
          <t>Global assumptions</t>
        </is>
      </c>
    </row>
    <row r="5">
      <c r="A5" s="4" t="inlineStr">
        <is>
          <t>FX rate (₦ per $)</t>
        </is>
      </c>
      <c r="B5" s="5" t="n">
        <v>1550</v>
      </c>
    </row>
    <row r="6">
      <c r="A6" s="4" t="inlineStr">
        <is>
          <t>Payment fee % (local)</t>
        </is>
      </c>
      <c r="B6" s="6" t="n">
        <v>0.015</v>
      </c>
    </row>
    <row r="7">
      <c r="A7" s="4" t="inlineStr">
        <is>
          <t>Payment fixed fee (₦)</t>
        </is>
      </c>
      <c r="B7" s="5" t="n">
        <v>100</v>
      </c>
    </row>
    <row r="8">
      <c r="A8" s="4" t="inlineStr">
        <is>
          <t>Fee cap (₦)</t>
        </is>
      </c>
      <c r="B8" s="5" t="n">
        <v>2000</v>
      </c>
    </row>
    <row r="9">
      <c r="A9" s="4" t="inlineStr">
        <is>
          <t>VAT on payment fee</t>
        </is>
      </c>
      <c r="B9" s="7" t="n">
        <v>0.075</v>
      </c>
    </row>
    <row r="10">
      <c r="A10" s="4" t="inlineStr">
        <is>
          <t>Refund / return reserve (% of revenue)</t>
        </is>
      </c>
      <c r="B10" s="7" t="n">
        <v>0.03</v>
      </c>
    </row>
    <row r="11">
      <c r="A11" s="4" t="inlineStr">
        <is>
          <t>Chargeback reserve (% of revenue)</t>
        </is>
      </c>
      <c r="B11" s="7" t="n">
        <v>0.01</v>
      </c>
    </row>
    <row r="12">
      <c r="A12" s="4" t="inlineStr">
        <is>
          <t>Packaging cost per order (₦)</t>
        </is>
      </c>
      <c r="B12" s="5" t="n">
        <v>1200</v>
      </c>
    </row>
    <row r="13">
      <c r="A13" s="4" t="inlineStr">
        <is>
          <t>Last-mile delivery cost (₦)</t>
        </is>
      </c>
      <c r="B13" s="5" t="n">
        <v>2500</v>
      </c>
    </row>
    <row r="14">
      <c r="A14" s="4" t="inlineStr">
        <is>
          <t>Free-delivery threshold (₦)</t>
        </is>
      </c>
      <c r="B14" s="5" t="n">
        <v>50000</v>
      </c>
    </row>
    <row r="15">
      <c r="A15" s="4" t="inlineStr">
        <is>
          <t>Target CAC per order (₦)</t>
        </is>
      </c>
      <c r="B15" s="5" t="n">
        <v>13000</v>
      </c>
    </row>
    <row r="17">
      <c r="A17" s="3" t="inlineStr">
        <is>
          <t>Product-level contribution (per order, one unit)</t>
        </is>
      </c>
    </row>
    <row r="18" ht="30" customHeight="1">
      <c r="A18" s="8" t="inlineStr">
        <is>
          <t>Product</t>
        </is>
      </c>
      <c r="B18" s="9" t="inlineStr">
        <is>
          <t>Sell price (₦)</t>
        </is>
      </c>
      <c r="C18" s="9" t="inlineStr">
        <is>
          <t>Supplier cost ($)</t>
        </is>
      </c>
      <c r="D18" s="9" t="inlineStr">
        <is>
          <t>Supplier cost (₦)</t>
        </is>
      </c>
      <c r="E18" s="9" t="inlineStr">
        <is>
          <t>Freight + duty (₦)</t>
        </is>
      </c>
      <c r="F18" s="9" t="inlineStr">
        <is>
          <t>Contribution before fees</t>
        </is>
      </c>
      <c r="G18" s="9" t="inlineStr">
        <is>
          <t>Payment fee + VAT</t>
        </is>
      </c>
      <c r="H18" s="9" t="inlineStr">
        <is>
          <t>Refund + CB reserve</t>
        </is>
      </c>
      <c r="I18" s="9" t="inlineStr">
        <is>
          <t>Packaging + delivery</t>
        </is>
      </c>
      <c r="J18" s="9" t="inlineStr">
        <is>
          <t>Contribution before ads</t>
        </is>
      </c>
      <c r="K18" s="9" t="inlineStr">
        <is>
          <t>Break-even CAC</t>
        </is>
      </c>
      <c r="L18" s="9" t="inlineStr">
        <is>
          <t>Contribution after ads</t>
        </is>
      </c>
    </row>
    <row r="19">
      <c r="A19" s="10" t="inlineStr">
        <is>
          <t>Cloud Nest Bed — Small</t>
        </is>
      </c>
      <c r="B19" s="11" t="n">
        <v>72000</v>
      </c>
      <c r="C19" s="12" t="n">
        <v>10.5</v>
      </c>
      <c r="D19" s="13">
        <f>C19*$B$5</f>
        <v/>
      </c>
      <c r="E19" s="11" t="n">
        <v>3000</v>
      </c>
      <c r="F19" s="13">
        <f>B19-D19-E19</f>
        <v/>
      </c>
      <c r="G19" s="13">
        <f>(MIN(B19*$B$6,$B$8)+$B$7*(B19&gt;2500))*(1+$B$9)</f>
        <v/>
      </c>
      <c r="H19" s="13">
        <f>B19*($B$10+$B$11)</f>
        <v/>
      </c>
      <c r="I19" s="13">
        <f>$B$12+$B$13</f>
        <v/>
      </c>
      <c r="J19" s="13">
        <f>F19-G19-H19-I19</f>
        <v/>
      </c>
      <c r="K19" s="13">
        <f>J19</f>
        <v/>
      </c>
      <c r="L19" s="14">
        <f>J19-$B$15</f>
        <v/>
      </c>
    </row>
    <row r="20">
      <c r="A20" s="10" t="inlineStr">
        <is>
          <t>Cloud Nest Bed — Medium</t>
        </is>
      </c>
      <c r="B20" s="11" t="n">
        <v>80000</v>
      </c>
      <c r="C20" s="12" t="n">
        <v>12</v>
      </c>
      <c r="D20" s="13">
        <f>C20*$B$5</f>
        <v/>
      </c>
      <c r="E20" s="11" t="n">
        <v>3500</v>
      </c>
      <c r="F20" s="13">
        <f>B20-D20-E20</f>
        <v/>
      </c>
      <c r="G20" s="13">
        <f>(MIN(B20*$B$6,$B$8)+$B$7*(B20&gt;2500))*(1+$B$9)</f>
        <v/>
      </c>
      <c r="H20" s="13">
        <f>B20*($B$10+$B$11)</f>
        <v/>
      </c>
      <c r="I20" s="13">
        <f>$B$12+$B$13</f>
        <v/>
      </c>
      <c r="J20" s="13">
        <f>F20-G20-H20-I20</f>
        <v/>
      </c>
      <c r="K20" s="13">
        <f>J20</f>
        <v/>
      </c>
      <c r="L20" s="14">
        <f>J20-$B$15</f>
        <v/>
      </c>
    </row>
    <row r="21">
      <c r="A21" s="10" t="inlineStr">
        <is>
          <t>Cloud Nest Bed — Large</t>
        </is>
      </c>
      <c r="B21" s="11" t="n">
        <v>96000</v>
      </c>
      <c r="C21" s="12" t="n">
        <v>15</v>
      </c>
      <c r="D21" s="13">
        <f>C21*$B$5</f>
        <v/>
      </c>
      <c r="E21" s="11" t="n">
        <v>4500</v>
      </c>
      <c r="F21" s="13">
        <f>B21-D21-E21</f>
        <v/>
      </c>
      <c r="G21" s="13">
        <f>(MIN(B21*$B$6,$B$8)+$B$7*(B21&gt;2500))*(1+$B$9)</f>
        <v/>
      </c>
      <c r="H21" s="13">
        <f>B21*($B$10+$B$11)</f>
        <v/>
      </c>
      <c r="I21" s="13">
        <f>$B$12+$B$13</f>
        <v/>
      </c>
      <c r="J21" s="13">
        <f>F21-G21-H21-I21</f>
        <v/>
      </c>
      <c r="K21" s="13">
        <f>J21</f>
        <v/>
      </c>
      <c r="L21" s="14">
        <f>J21-$B$15</f>
        <v/>
      </c>
    </row>
    <row r="22">
      <c r="A22" s="10" t="inlineStr">
        <is>
          <t>Quiet Hour Lick Mat</t>
        </is>
      </c>
      <c r="B22" s="11" t="n">
        <v>22500</v>
      </c>
      <c r="C22" s="12" t="n">
        <v>1.8</v>
      </c>
      <c r="D22" s="13">
        <f>C22*$B$5</f>
        <v/>
      </c>
      <c r="E22" s="11" t="n">
        <v>500</v>
      </c>
      <c r="F22" s="13">
        <f>B22-D22-E22</f>
        <v/>
      </c>
      <c r="G22" s="13">
        <f>(MIN(B22*$B$6,$B$8)+$B$7*(B22&gt;2500))*(1+$B$9)</f>
        <v/>
      </c>
      <c r="H22" s="13">
        <f>B22*($B$10+$B$11)</f>
        <v/>
      </c>
      <c r="I22" s="13">
        <f>$B$12+$B$13</f>
        <v/>
      </c>
      <c r="J22" s="13">
        <f>F22-G22-H22-I22</f>
        <v/>
      </c>
      <c r="K22" s="13">
        <f>J22</f>
        <v/>
      </c>
      <c r="L22" s="14">
        <f>J22-$B$15</f>
        <v/>
      </c>
    </row>
    <row r="23">
      <c r="A23" s="10" t="inlineStr">
        <is>
          <t>Slow Down Feeder Bowl</t>
        </is>
      </c>
      <c r="B23" s="11" t="n">
        <v>28000</v>
      </c>
      <c r="C23" s="12" t="n">
        <v>3.5</v>
      </c>
      <c r="D23" s="13">
        <f>C23*$B$5</f>
        <v/>
      </c>
      <c r="E23" s="11" t="n">
        <v>900</v>
      </c>
      <c r="F23" s="13">
        <f>B23-D23-E23</f>
        <v/>
      </c>
      <c r="G23" s="13">
        <f>(MIN(B23*$B$6,$B$8)+$B$7*(B23&gt;2500))*(1+$B$9)</f>
        <v/>
      </c>
      <c r="H23" s="13">
        <f>B23*($B$10+$B$11)</f>
        <v/>
      </c>
      <c r="I23" s="13">
        <f>$B$12+$B$13</f>
        <v/>
      </c>
      <c r="J23" s="13">
        <f>F23-G23-H23-I23</f>
        <v/>
      </c>
      <c r="K23" s="13">
        <f>J23</f>
        <v/>
      </c>
      <c r="L23" s="14">
        <f>J23-$B$15</f>
        <v/>
      </c>
    </row>
    <row r="24">
      <c r="A24" s="10" t="inlineStr">
        <is>
          <t>Snuffle Ground Mat</t>
        </is>
      </c>
      <c r="B24" s="11" t="n">
        <v>34500</v>
      </c>
      <c r="C24" s="12" t="n">
        <v>4</v>
      </c>
      <c r="D24" s="13">
        <f>C24*$B$5</f>
        <v/>
      </c>
      <c r="E24" s="11" t="n">
        <v>800</v>
      </c>
      <c r="F24" s="13">
        <f>B24-D24-E24</f>
        <v/>
      </c>
      <c r="G24" s="13">
        <f>(MIN(B24*$B$6,$B$8)+$B$7*(B24&gt;2500))*(1+$B$9)</f>
        <v/>
      </c>
      <c r="H24" s="13">
        <f>B24*($B$10+$B$11)</f>
        <v/>
      </c>
      <c r="I24" s="13">
        <f>$B$12+$B$13</f>
        <v/>
      </c>
      <c r="J24" s="13">
        <f>F24-G24-H24-I24</f>
        <v/>
      </c>
      <c r="K24" s="13">
        <f>J24</f>
        <v/>
      </c>
      <c r="L24" s="14">
        <f>J24-$B$15</f>
        <v/>
      </c>
    </row>
    <row r="25">
      <c r="A25" s="10" t="inlineStr">
        <is>
          <t>Soft Touch Grooming Gloves</t>
        </is>
      </c>
      <c r="B25" s="11" t="n">
        <v>19500</v>
      </c>
      <c r="C25" s="12" t="n">
        <v>1.6</v>
      </c>
      <c r="D25" s="13">
        <f>C25*$B$5</f>
        <v/>
      </c>
      <c r="E25" s="11" t="n">
        <v>400</v>
      </c>
      <c r="F25" s="13">
        <f>B25-D25-E25</f>
        <v/>
      </c>
      <c r="G25" s="13">
        <f>(MIN(B25*$B$6,$B$8)+$B$7*(B25&gt;2500))*(1+$B$9)</f>
        <v/>
      </c>
      <c r="H25" s="13">
        <f>B25*($B$10+$B$11)</f>
        <v/>
      </c>
      <c r="I25" s="13">
        <f>$B$12+$B$13</f>
        <v/>
      </c>
      <c r="J25" s="13">
        <f>F25-G25-H25-I25</f>
        <v/>
      </c>
      <c r="K25" s="13">
        <f>J25</f>
        <v/>
      </c>
      <c r="L25" s="14">
        <f>J25-$B$15</f>
        <v/>
      </c>
    </row>
    <row r="26">
      <c r="A26" s="10" t="inlineStr">
        <is>
          <t>Trail Sip Travel Bottle</t>
        </is>
      </c>
      <c r="B26" s="11" t="n">
        <v>24000</v>
      </c>
      <c r="C26" s="12" t="n">
        <v>2.2</v>
      </c>
      <c r="D26" s="13">
        <f>C26*$B$5</f>
        <v/>
      </c>
      <c r="E26" s="11" t="n">
        <v>600</v>
      </c>
      <c r="F26" s="13">
        <f>B26-D26-E26</f>
        <v/>
      </c>
      <c r="G26" s="13">
        <f>(MIN(B26*$B$6,$B$8)+$B$7*(B26&gt;2500))*(1+$B$9)</f>
        <v/>
      </c>
      <c r="H26" s="13">
        <f>B26*($B$10+$B$11)</f>
        <v/>
      </c>
      <c r="I26" s="13">
        <f>$B$12+$B$13</f>
        <v/>
      </c>
      <c r="J26" s="13">
        <f>F26-G26-H26-I26</f>
        <v/>
      </c>
      <c r="K26" s="13">
        <f>J26</f>
        <v/>
      </c>
      <c r="L26" s="14">
        <f>J26-$B$15</f>
        <v/>
      </c>
    </row>
    <row r="27">
      <c r="A27" s="10" t="inlineStr">
        <is>
          <t>The Wind-Down Set</t>
        </is>
      </c>
      <c r="B27" s="11" t="n">
        <v>96000</v>
      </c>
      <c r="C27" s="12" t="n">
        <v>16.5</v>
      </c>
      <c r="D27" s="13">
        <f>C27*$B$5</f>
        <v/>
      </c>
      <c r="E27" s="11" t="n">
        <v>4200</v>
      </c>
      <c r="F27" s="13">
        <f>B27-D27-E27</f>
        <v/>
      </c>
      <c r="G27" s="13">
        <f>(MIN(B27*$B$6,$B$8)+$B$7*(B27&gt;2500))*(1+$B$9)</f>
        <v/>
      </c>
      <c r="H27" s="13">
        <f>B27*($B$10+$B$11)</f>
        <v/>
      </c>
      <c r="I27" s="13">
        <f>$B$12+$B$13</f>
        <v/>
      </c>
      <c r="J27" s="13">
        <f>F27-G27-H27-I27</f>
        <v/>
      </c>
      <c r="K27" s="13">
        <f>J27</f>
        <v/>
      </c>
      <c r="L27" s="14">
        <f>J27-$B$15</f>
        <v/>
      </c>
    </row>
    <row r="29">
      <c r="A29" s="3" t="inlineStr">
        <is>
          <t>Derived metrics</t>
        </is>
      </c>
    </row>
    <row r="30">
      <c r="A30" s="4" t="inlineStr">
        <is>
          <t>Contribution margin % (before ads)</t>
        </is>
      </c>
      <c r="B30" s="15">
        <f>J19/B19</f>
        <v/>
      </c>
      <c r="C30" s="15">
        <f>J20/B20</f>
        <v/>
      </c>
      <c r="D30" s="15">
        <f>J21/B21</f>
        <v/>
      </c>
      <c r="E30" s="15">
        <f>J22/B22</f>
        <v/>
      </c>
      <c r="F30" s="15">
        <f>J23/B23</f>
        <v/>
      </c>
      <c r="G30" s="15">
        <f>J24/B24</f>
        <v/>
      </c>
      <c r="H30" s="15">
        <f>J25/B25</f>
        <v/>
      </c>
      <c r="I30" s="15">
        <f>J26/B26</f>
        <v/>
      </c>
      <c r="J30" s="15">
        <f>J27/B27</f>
        <v/>
      </c>
    </row>
    <row r="31">
      <c r="A31" s="4" t="inlineStr">
        <is>
          <t>Break-even ROAS</t>
        </is>
      </c>
      <c r="B31" s="16">
        <f>B19/J19</f>
        <v/>
      </c>
      <c r="C31" s="16">
        <f>B20/J20</f>
        <v/>
      </c>
      <c r="D31" s="16">
        <f>B21/J21</f>
        <v/>
      </c>
      <c r="E31" s="16">
        <f>B22/J22</f>
        <v/>
      </c>
      <c r="F31" s="16">
        <f>B23/J23</f>
        <v/>
      </c>
      <c r="G31" s="16">
        <f>B24/J24</f>
        <v/>
      </c>
      <c r="H31" s="16">
        <f>B25/J25</f>
        <v/>
      </c>
      <c r="I31" s="16">
        <f>B26/J26</f>
        <v/>
      </c>
      <c r="J31" s="16">
        <f>B27/J27</f>
        <v/>
      </c>
    </row>
    <row r="32">
      <c r="A32" s="4" t="inlineStr">
        <is>
          <t>Price ÷ contribution (margin multiple)</t>
        </is>
      </c>
      <c r="B32" s="17">
        <f>B19/J19</f>
        <v/>
      </c>
      <c r="C32" s="17">
        <f>B20/J20</f>
        <v/>
      </c>
      <c r="D32" s="17">
        <f>B21/J21</f>
        <v/>
      </c>
      <c r="E32" s="17">
        <f>B22/J22</f>
        <v/>
      </c>
      <c r="F32" s="17">
        <f>B23/J23</f>
        <v/>
      </c>
      <c r="G32" s="17">
        <f>B24/J24</f>
        <v/>
      </c>
      <c r="H32" s="17">
        <f>B25/J25</f>
        <v/>
      </c>
      <c r="I32" s="17">
        <f>B26/J26</f>
        <v/>
      </c>
      <c r="J32" s="17">
        <f>B27/J27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Ad test planner — what ₦X of spend should buy</t>
        </is>
      </c>
    </row>
    <row r="2">
      <c r="A2" s="2" t="inlineStr">
        <is>
          <t>Change the inputs in column B. The table below shows the outcome at three spend levels.</t>
        </is>
      </c>
    </row>
    <row r="4">
      <c r="A4" s="4" t="inlineStr">
        <is>
          <t>Daily budget (₦)</t>
        </is>
      </c>
      <c r="B4" s="5" t="n">
        <v>10000</v>
      </c>
    </row>
    <row r="5">
      <c r="A5" s="4" t="inlineStr">
        <is>
          <t>Days of test</t>
        </is>
      </c>
      <c r="B5" s="5" t="n">
        <v>14</v>
      </c>
    </row>
    <row r="6">
      <c r="A6" s="4" t="inlineStr">
        <is>
          <t>CPM (₦ per 1,000 impressions)</t>
        </is>
      </c>
      <c r="B6" s="5" t="n">
        <v>2500</v>
      </c>
    </row>
    <row r="7">
      <c r="A7" s="4" t="inlineStr">
        <is>
          <t>Click-through rate</t>
        </is>
      </c>
      <c r="B7" s="7" t="n">
        <v>0.015</v>
      </c>
    </row>
    <row r="8">
      <c r="A8" s="4" t="inlineStr">
        <is>
          <t>Session → order conversion rate</t>
        </is>
      </c>
      <c r="B8" s="7" t="n">
        <v>0.015</v>
      </c>
    </row>
    <row r="9">
      <c r="A9" s="4" t="inlineStr">
        <is>
          <t>Average order value (₦)</t>
        </is>
      </c>
      <c r="B9" s="5" t="n">
        <v>80000</v>
      </c>
    </row>
    <row r="10">
      <c r="A10" s="4" t="inlineStr">
        <is>
          <t>Contribution before ads (% of revenue)</t>
        </is>
      </c>
      <c r="B10" s="7" t="n">
        <v>0.64</v>
      </c>
    </row>
    <row r="11">
      <c r="A11" s="4" t="inlineStr">
        <is>
          <t>Refund rate</t>
        </is>
      </c>
      <c r="B11" s="7" t="n">
        <v>0.03</v>
      </c>
    </row>
    <row r="13">
      <c r="A13" s="3" t="inlineStr">
        <is>
          <t>Projected outcome</t>
        </is>
      </c>
    </row>
    <row r="14" ht="30" customHeight="1">
      <c r="A14" s="8" t="inlineStr">
        <is>
          <t>Metric</t>
        </is>
      </c>
      <c r="B14" s="9" t="inlineStr">
        <is>
          <t>Result</t>
        </is>
      </c>
    </row>
    <row r="15">
      <c r="A15" s="18" t="inlineStr">
        <is>
          <t>Total spend (₦)</t>
        </is>
      </c>
      <c r="B15" s="19">
        <f>$B$4*$B$5</f>
        <v/>
      </c>
    </row>
    <row r="16">
      <c r="A16" s="18" t="inlineStr">
        <is>
          <t>Impressions</t>
        </is>
      </c>
      <c r="B16" s="20">
        <f>B15/$B$6*1000</f>
        <v/>
      </c>
    </row>
    <row r="17">
      <c r="A17" s="18" t="inlineStr">
        <is>
          <t>Clicks</t>
        </is>
      </c>
      <c r="B17" s="20">
        <f>B16*$B$7</f>
        <v/>
      </c>
    </row>
    <row r="18">
      <c r="A18" s="18" t="inlineStr">
        <is>
          <t>Cost per click (₦)</t>
        </is>
      </c>
      <c r="B18" s="19">
        <f>B15/B17</f>
        <v/>
      </c>
    </row>
    <row r="19">
      <c r="A19" s="18" t="inlineStr">
        <is>
          <t>Sessions</t>
        </is>
      </c>
      <c r="B19" s="20">
        <f>B17</f>
        <v/>
      </c>
    </row>
    <row r="20">
      <c r="A20" s="18" t="inlineStr">
        <is>
          <t>Orders</t>
        </is>
      </c>
      <c r="B20" s="21">
        <f>B19*$B$8</f>
        <v/>
      </c>
    </row>
    <row r="21">
      <c r="A21" s="18" t="inlineStr">
        <is>
          <t>CPA (₦)</t>
        </is>
      </c>
      <c r="B21" s="19">
        <f>IF(B20=0,0,B15/B20)</f>
        <v/>
      </c>
    </row>
    <row r="22">
      <c r="A22" s="18" t="inlineStr">
        <is>
          <t>Revenue (₦)</t>
        </is>
      </c>
      <c r="B22" s="19">
        <f>B20*$B$9</f>
        <v/>
      </c>
    </row>
    <row r="23">
      <c r="A23" s="18" t="inlineStr">
        <is>
          <t>Contribution before ads (₦)</t>
        </is>
      </c>
      <c r="B23" s="19">
        <f>B22*$B$10</f>
        <v/>
      </c>
    </row>
    <row r="24">
      <c r="A24" s="18" t="inlineStr">
        <is>
          <t>Refund cost (₦)</t>
        </is>
      </c>
      <c r="B24" s="19">
        <f>B22*$B$11*0.6</f>
        <v/>
      </c>
    </row>
    <row r="25">
      <c r="A25" s="22" t="inlineStr">
        <is>
          <t>Contribution after ads (₦)</t>
        </is>
      </c>
      <c r="B25" s="23">
        <f>B23-B15-B24</f>
        <v/>
      </c>
    </row>
    <row r="26">
      <c r="A26" s="24" t="inlineStr">
        <is>
          <t>Verdict vs break-even CPA</t>
        </is>
      </c>
      <c r="B26" s="25">
        <f>IF(B25&gt;0,"Profitable — scale 20%/day","Below break-even — iterate or stop")</f>
        <v/>
      </c>
    </row>
    <row r="29">
      <c r="A29" s="3" t="inlineStr">
        <is>
          <t>Spend scenarios</t>
        </is>
      </c>
    </row>
    <row r="30" ht="30" customHeight="1">
      <c r="A30" s="8" t="inlineStr">
        <is>
          <t>Daily budget (₦)</t>
        </is>
      </c>
      <c r="B30" s="9" t="inlineStr">
        <is>
          <t>Total spend (₦)</t>
        </is>
      </c>
      <c r="C30" s="9" t="inlineStr">
        <is>
          <t>Orders</t>
        </is>
      </c>
      <c r="D30" s="9" t="inlineStr">
        <is>
          <t>CPA (₦)</t>
        </is>
      </c>
      <c r="E30" s="9" t="inlineStr">
        <is>
          <t>Contribution after ads (₦)</t>
        </is>
      </c>
    </row>
    <row r="31">
      <c r="A31" s="26" t="n">
        <v>5000</v>
      </c>
      <c r="B31" s="27">
        <f>A31*$B$5</f>
        <v/>
      </c>
      <c r="C31" s="28">
        <f>B31/$B$6*1000*$B$7*$B$8</f>
        <v/>
      </c>
      <c r="D31" s="27">
        <f>IF(C31=0,0,B31/C31)</f>
        <v/>
      </c>
      <c r="E31" s="27">
        <f>C31*$B$9*$B$10-B31-C31*$B$9*$B$11*0.6</f>
        <v/>
      </c>
    </row>
    <row r="32">
      <c r="A32" s="26" t="n">
        <v>10000</v>
      </c>
      <c r="B32" s="27">
        <f>A32*$B$5</f>
        <v/>
      </c>
      <c r="C32" s="28">
        <f>B32/$B$6*1000*$B$7*$B$8</f>
        <v/>
      </c>
      <c r="D32" s="27">
        <f>IF(C32=0,0,B32/C32)</f>
        <v/>
      </c>
      <c r="E32" s="27">
        <f>C32*$B$9*$B$10-B32-C32*$B$9*$B$11*0.6</f>
        <v/>
      </c>
    </row>
    <row r="33">
      <c r="A33" s="26" t="n">
        <v>15000</v>
      </c>
      <c r="B33" s="27">
        <f>A33*$B$5</f>
        <v/>
      </c>
      <c r="C33" s="28">
        <f>B33/$B$6*1000*$B$7*$B$8</f>
        <v/>
      </c>
      <c r="D33" s="27">
        <f>IF(C33=0,0,B33/C33)</f>
        <v/>
      </c>
      <c r="E33" s="27">
        <f>C33*$B$9*$B$10-B33-C33*$B$9*$B$11*0.6</f>
        <v/>
      </c>
    </row>
    <row r="34">
      <c r="A34" s="26" t="n">
        <v>20000</v>
      </c>
      <c r="B34" s="27">
        <f>A34*$B$5</f>
        <v/>
      </c>
      <c r="C34" s="28">
        <f>B34/$B$6*1000*$B$7*$B$8</f>
        <v/>
      </c>
      <c r="D34" s="27">
        <f>IF(C34=0,0,B34/C34)</f>
        <v/>
      </c>
      <c r="E34" s="27">
        <f>C34*$B$9*$B$10-B34-C34*$B$9*$B$11*0.6</f>
        <v/>
      </c>
    </row>
    <row r="37">
      <c r="A37" s="3" t="inlineStr">
        <is>
          <t>Sensitivity — the conversion rate is the assumption that matters</t>
        </is>
      </c>
    </row>
    <row r="38">
      <c r="A38" s="2" t="inlineStr">
        <is>
          <t>Same budget and CPM; only the session-to-order rate changes.</t>
        </is>
      </c>
    </row>
    <row r="39" ht="30" customHeight="1">
      <c r="A39" s="8" t="inlineStr">
        <is>
          <t>Session → order rate</t>
        </is>
      </c>
      <c r="B39" s="9" t="inlineStr">
        <is>
          <t>Orders from current budget</t>
        </is>
      </c>
      <c r="C39" s="9" t="inlineStr">
        <is>
          <t>CPA (₦)</t>
        </is>
      </c>
      <c r="D39" s="9" t="inlineStr">
        <is>
          <t>Contribution per order (₦)</t>
        </is>
      </c>
      <c r="E39" s="9" t="inlineStr">
        <is>
          <t>Result</t>
        </is>
      </c>
    </row>
    <row r="40">
      <c r="A40" s="29" t="n">
        <v>0.003</v>
      </c>
      <c r="B40" s="28">
        <f>B19*A40</f>
        <v/>
      </c>
      <c r="C40" s="27">
        <f>IF(B40=0,0,B15/B40)</f>
        <v/>
      </c>
      <c r="D40" s="27">
        <f>$B$9*$B$10-$B$9*$B$11*0.6</f>
        <v/>
      </c>
      <c r="E40" s="10">
        <f>IF(C40&lt;=D40,"Works — CPA under contribution","Fails — CPA above contribution")</f>
        <v/>
      </c>
    </row>
    <row r="41">
      <c r="A41" s="29" t="n">
        <v>0.005</v>
      </c>
      <c r="B41" s="28">
        <f>B19*A41</f>
        <v/>
      </c>
      <c r="C41" s="27">
        <f>IF(B41=0,0,B15/B41)</f>
        <v/>
      </c>
      <c r="D41" s="27">
        <f>$B$9*$B$10-$B$9*$B$11*0.6</f>
        <v/>
      </c>
      <c r="E41" s="10">
        <f>IF(C41&lt;=D41,"Works — CPA under contribution","Fails — CPA above contribution")</f>
        <v/>
      </c>
    </row>
    <row r="42">
      <c r="A42" s="29" t="n">
        <v>0.008</v>
      </c>
      <c r="B42" s="28">
        <f>B19*A42</f>
        <v/>
      </c>
      <c r="C42" s="27">
        <f>IF(B42=0,0,B15/B42)</f>
        <v/>
      </c>
      <c r="D42" s="27">
        <f>$B$9*$B$10-$B$9*$B$11*0.6</f>
        <v/>
      </c>
      <c r="E42" s="10">
        <f>IF(C42&lt;=D42,"Works — CPA under contribution","Fails — CPA above contribution")</f>
        <v/>
      </c>
    </row>
    <row r="43">
      <c r="A43" s="29" t="n">
        <v>0.01</v>
      </c>
      <c r="B43" s="28">
        <f>B19*A43</f>
        <v/>
      </c>
      <c r="C43" s="27">
        <f>IF(B43=0,0,B15/B43)</f>
        <v/>
      </c>
      <c r="D43" s="27">
        <f>$B$9*$B$10-$B$9*$B$11*0.6</f>
        <v/>
      </c>
      <c r="E43" s="10">
        <f>IF(C43&lt;=D43,"Works — CPA under contribution","Fails — CPA above contribution")</f>
        <v/>
      </c>
    </row>
    <row r="44">
      <c r="A44" s="29" t="n">
        <v>0.015</v>
      </c>
      <c r="B44" s="28">
        <f>B19*A44</f>
        <v/>
      </c>
      <c r="C44" s="27">
        <f>IF(B44=0,0,B15/B44)</f>
        <v/>
      </c>
      <c r="D44" s="27">
        <f>$B$9*$B$10-$B$9*$B$11*0.6</f>
        <v/>
      </c>
      <c r="E44" s="10">
        <f>IF(C44&lt;=D44,"Works — CPA under contribution","Fails — CPA above contribution")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46" customWidth="1" min="5" max="5"/>
  </cols>
  <sheetData>
    <row r="1">
      <c r="A1" s="1" t="inlineStr">
        <is>
          <t>10-week cash plan (₦)</t>
        </is>
      </c>
    </row>
    <row r="2">
      <c r="A2" s="2" t="inlineStr">
        <is>
          <t>Yellow = planned spend. Running total shows how much is committed before the first sale.</t>
        </is>
      </c>
    </row>
    <row r="4" ht="30" customHeight="1">
      <c r="A4" s="8" t="inlineStr">
        <is>
          <t>Item</t>
        </is>
      </c>
      <c r="B4" s="9" t="inlineStr">
        <is>
          <t>Week due</t>
        </is>
      </c>
      <c r="C4" s="9" t="inlineStr">
        <is>
          <t>Low (₦)</t>
        </is>
      </c>
      <c r="D4" s="9" t="inlineStr">
        <is>
          <t>High (₦)</t>
        </is>
      </c>
      <c r="E4" s="9" t="inlineStr">
        <is>
          <t>Notes</t>
        </is>
      </c>
      <c r="F4" s="9" t="inlineStr"/>
      <c r="G4" s="9" t="inlineStr"/>
      <c r="H4" s="9" t="inlineStr"/>
    </row>
    <row r="5">
      <c r="A5" s="10" t="inlineStr">
        <is>
          <t>Samples (5 SKUs)</t>
        </is>
      </c>
      <c r="B5" s="30" t="inlineStr">
        <is>
          <t>1</t>
        </is>
      </c>
      <c r="C5" s="26" t="n">
        <v>45000</v>
      </c>
      <c r="D5" s="26" t="n">
        <v>75000</v>
      </c>
      <c r="E5" s="31" t="inlineStr">
        <is>
          <t>Some returned as supplier credit</t>
        </is>
      </c>
    </row>
    <row r="6">
      <c r="A6" s="10" t="inlineStr">
        <is>
          <t>Company registration + bank + TIN</t>
        </is>
      </c>
      <c r="B6" s="30" t="inlineStr">
        <is>
          <t>1</t>
        </is>
      </c>
      <c r="C6" s="26" t="n">
        <v>35000</v>
      </c>
      <c r="D6" s="26" t="n">
        <v>70000</v>
      </c>
      <c r="E6" s="31" t="inlineStr">
        <is>
          <t>Business name is enough to start</t>
        </is>
      </c>
    </row>
    <row r="7">
      <c r="A7" s="10" t="inlineStr">
        <is>
          <t>Domain + business email</t>
        </is>
      </c>
      <c r="B7" s="30" t="inlineStr">
        <is>
          <t>2</t>
        </is>
      </c>
      <c r="C7" s="26" t="n">
        <v>18000</v>
      </c>
      <c r="D7" s="26" t="n">
        <v>35000</v>
      </c>
      <c r="E7" s="31" t="inlineStr">
        <is>
          <t>.com plus .ng</t>
        </is>
      </c>
    </row>
    <row r="8">
      <c r="A8" s="10" t="inlineStr">
        <is>
          <t>Packaging, stickers, insert cards</t>
        </is>
      </c>
      <c r="B8" s="30" t="inlineStr">
        <is>
          <t>2</t>
        </is>
      </c>
      <c r="C8" s="26" t="n">
        <v>35000</v>
      </c>
      <c r="D8" s="26" t="n">
        <v>65000</v>
      </c>
      <c r="E8" s="31" t="inlineStr">
        <is>
          <t>500 units each</t>
        </is>
      </c>
    </row>
    <row r="9">
      <c r="A9" s="10" t="inlineStr">
        <is>
          <t>Hosting + software (10 weeks)</t>
        </is>
      </c>
      <c r="B9" s="30" t="inlineStr">
        <is>
          <t>3</t>
        </is>
      </c>
      <c r="C9" s="26" t="n">
        <v>25000</v>
      </c>
      <c r="D9" s="26" t="n">
        <v>60000</v>
      </c>
      <c r="E9" s="31" t="inlineStr">
        <is>
          <t>Vercel, Railway, Neon, Resend</t>
        </is>
      </c>
    </row>
    <row r="10">
      <c r="A10" s="10" t="inlineStr">
        <is>
          <t>Photography + props</t>
        </is>
      </c>
      <c r="B10" s="30" t="inlineStr">
        <is>
          <t>5</t>
        </is>
      </c>
      <c r="C10" s="26" t="n">
        <v>0</v>
      </c>
      <c r="D10" s="26" t="n">
        <v>80000</v>
      </c>
      <c r="E10" s="31" t="inlineStr">
        <is>
          <t>0 if you shoot samples yourself</t>
        </is>
      </c>
    </row>
    <row r="11">
      <c r="A11" s="10" t="inlineStr">
        <is>
          <t>Ad test — tranche 1</t>
        </is>
      </c>
      <c r="B11" s="30" t="inlineStr">
        <is>
          <t>8</t>
        </is>
      </c>
      <c r="C11" s="26" t="n">
        <v>150000</v>
      </c>
      <c r="D11" s="26" t="n">
        <v>150000</v>
      </c>
      <c r="E11" s="31" t="inlineStr">
        <is>
          <t>Hard cap, set in-platform</t>
        </is>
      </c>
    </row>
    <row r="12">
      <c r="A12" s="10" t="inlineStr">
        <is>
          <t>Ad test — tranche 2 (gated)</t>
        </is>
      </c>
      <c r="B12" s="30" t="inlineStr">
        <is>
          <t>9</t>
        </is>
      </c>
      <c r="C12" s="26" t="n">
        <v>0</v>
      </c>
      <c r="D12" s="26" t="n">
        <v>100000</v>
      </c>
      <c r="E12" s="31" t="inlineStr">
        <is>
          <t>Only if 2 of 3 gates pass</t>
        </is>
      </c>
    </row>
    <row r="13">
      <c r="A13" s="10" t="inlineStr">
        <is>
          <t>Initial stock — hero SKUs</t>
        </is>
      </c>
      <c r="B13" s="30" t="inlineStr">
        <is>
          <t>10</t>
        </is>
      </c>
      <c r="C13" s="26" t="n">
        <v>0</v>
      </c>
      <c r="D13" s="26" t="n">
        <v>250000</v>
      </c>
      <c r="E13" s="31" t="inlineStr">
        <is>
          <t>Only after proven sell-through</t>
        </is>
      </c>
    </row>
    <row r="14">
      <c r="A14" s="10" t="inlineStr">
        <is>
          <t>Contingency (15%)</t>
        </is>
      </c>
      <c r="B14" s="30" t="inlineStr">
        <is>
          <t>—</t>
        </is>
      </c>
      <c r="C14" s="26" t="n">
        <v>45000</v>
      </c>
      <c r="D14" s="26" t="n">
        <v>120000</v>
      </c>
      <c r="E14" s="31" t="inlineStr">
        <is>
          <t>Something always doubles</t>
        </is>
      </c>
    </row>
    <row r="15">
      <c r="A15" s="32" t="inlineStr">
        <is>
          <t>Total</t>
        </is>
      </c>
      <c r="B15" s="32" t="n"/>
      <c r="C15" s="33">
        <f>SUM(C5:C14)</f>
        <v/>
      </c>
      <c r="D15" s="33">
        <f>SUM(D5:D14)</f>
        <v/>
      </c>
      <c r="E15" s="32" t="n"/>
    </row>
    <row r="17">
      <c r="A17" s="4" t="inlineStr">
        <is>
          <t>In USD (at the FX rate on the first sheet)</t>
        </is>
      </c>
      <c r="C17" s="34">
        <f>C15/$B$5</f>
        <v/>
      </c>
      <c r="D17" s="34">
        <f>D15/$B$5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2026-10-19T15:44:34Z</dcterms:created>
  <dcterms:modified xmlns:dcterms="http://purl.org/dc/terms/" xmlns:xsi="http://www.w3.org/2001/XMLSchema-instance" xsi:type="dcterms:W3CDTF">2026-10-19T15:44:34Z</dcterms:modified>
</cp:coreProperties>
</file>